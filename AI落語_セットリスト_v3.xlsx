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1" autoFilterDateGrouping="1"/>
  </bookViews>
  <sheets>
    <sheet xmlns:r="http://schemas.openxmlformats.org/officeDocument/2006/relationships" name="演目マスター" sheetId="1" state="visible" r:id="rId1"/>
    <sheet xmlns:r="http://schemas.openxmlformats.org/officeDocument/2006/relationships" name="月別セットリスト" sheetId="2" state="visible" r:id="rId2"/>
    <sheet xmlns:r="http://schemas.openxmlformats.org/officeDocument/2006/relationships" name="制作進捗管理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"/>
  </numFmts>
  <fonts count="13">
    <font>
      <name val="ＭＳ Ｐゴシック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ＭＳ Ｐゴシック"/>
      <charset val="128"/>
      <family val="3"/>
      <sz val="6"/>
      <scheme val="minor"/>
    </font>
    <font>
      <name val="Arial"/>
      <b val="1"/>
      <color rgb="FFFFFFFF"/>
      <sz val="10"/>
    </font>
    <font>
      <name val="Arial"/>
      <b val="1"/>
      <color rgb="FF7F1D1D"/>
      <sz val="10"/>
    </font>
    <font>
      <name val="Arial"/>
      <sz val="11"/>
    </font>
    <font>
      <name val="Arial"/>
      <color rgb="FF666666"/>
      <sz val="10"/>
    </font>
    <font>
      <name val="Arial"/>
      <sz val="9"/>
    </font>
    <font>
      <name val="Arial"/>
      <i val="1"/>
      <color rgb="FF666666"/>
      <sz val="9"/>
    </font>
    <font>
      <name val="Arial"/>
      <i val="1"/>
      <color rgb="FF999999"/>
      <sz val="10"/>
    </font>
  </fonts>
  <fills count="19">
    <fill>
      <patternFill/>
    </fill>
    <fill>
      <patternFill patternType="gray125"/>
    </fill>
    <fill>
      <patternFill patternType="solid">
        <fgColor rgb="FF2C2C2C"/>
        <bgColor rgb="FF2C2C2C"/>
      </patternFill>
    </fill>
    <fill>
      <patternFill patternType="solid">
        <fgColor rgb="FFFEF2F2"/>
        <bgColor rgb="FFFEF2F2"/>
      </patternFill>
    </fill>
    <fill>
      <patternFill patternType="solid">
        <fgColor rgb="FFECFDF5"/>
        <bgColor rgb="FFECFDF5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2C2C2C"/>
      </patternFill>
    </fill>
    <fill>
      <patternFill patternType="solid">
        <fgColor rgb="FFF5F3EF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EFF6FF"/>
      </patternFill>
    </fill>
    <fill>
      <patternFill patternType="solid">
        <fgColor rgb="FFFFD700"/>
      </patternFill>
    </fill>
    <fill>
      <patternFill patternType="solid">
        <fgColor rgb="FF7F1D1D"/>
      </patternFill>
    </fill>
    <fill>
      <patternFill patternType="solid">
        <fgColor rgb="FF1A3A6B"/>
      </patternFill>
    </fill>
    <fill>
      <patternFill patternType="solid">
        <fgColor rgb="FF1A5C38"/>
      </patternFill>
    </fill>
    <fill>
      <patternFill patternType="solid">
        <fgColor rgb="FFF0F0F0"/>
      </patternFill>
    </fill>
    <fill>
      <patternFill patternType="solid">
        <fgColor rgb="FFECFDF5"/>
      </patternFill>
    </fill>
  </fills>
  <borders count="7">
    <border>
      <left/>
      <right/>
      <top/>
      <bottom/>
      <diagonal/>
    </border>
    <border>
      <left style="thin">
        <color rgb="FFD0CCC8"/>
      </left>
      <right style="thin">
        <color rgb="FFD0CCC8"/>
      </right>
      <top style="thin">
        <color rgb="FFD0CCC8"/>
      </top>
      <bottom style="thin">
        <color rgb="FFD0CCC8"/>
      </bottom>
      <diagonal/>
    </border>
    <border>
      <left style="thin">
        <color rgb="FFD0CCC8"/>
      </left>
      <right style="thin">
        <color rgb="FFD0CCC8"/>
      </right>
      <top style="thin">
        <color rgb="FFD0CCC8"/>
      </top>
      <bottom style="thin">
        <color rgb="FFD0CCC8"/>
      </bottom>
      <diagonal/>
    </border>
    <border>
      <left/>
      <right/>
      <top style="thin">
        <color rgb="FFD0CCC8"/>
      </top>
      <bottom style="thin">
        <color rgb="FFD0CCC8"/>
      </bottom>
      <diagonal/>
    </border>
    <border>
      <left/>
      <right style="thin">
        <color rgb="FFD0CCC8"/>
      </right>
      <top style="thin">
        <color rgb="FFD0CCC8"/>
      </top>
      <bottom style="thin">
        <color rgb="FFD0CCC8"/>
      </bottom>
      <diagonal/>
    </border>
    <border>
      <left/>
      <right/>
      <top style="thin">
        <color rgb="FFD0CCC8"/>
      </top>
      <bottom/>
      <diagonal/>
    </border>
    <border>
      <left/>
      <right style="thin">
        <color rgb="FFD0CCC8"/>
      </right>
      <top style="thin">
        <color rgb="FFD0CCC8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8" fillId="0" borderId="0" pivotButton="0" quotePrefix="0" xfId="0"/>
    <xf numFmtId="0" fontId="6" fillId="8" borderId="1" applyAlignment="1" pivotButton="0" quotePrefix="0" xfId="0">
      <alignment vertical="center"/>
    </xf>
    <xf numFmtId="164" fontId="6" fillId="8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indent="1"/>
    </xf>
    <xf numFmtId="0" fontId="7" fillId="13" borderId="2" applyAlignment="1" pivotButton="0" quotePrefix="0" xfId="0">
      <alignment horizontal="center" vertical="center"/>
    </xf>
    <xf numFmtId="55" fontId="8" fillId="0" borderId="2" applyAlignment="1" pivotButton="0" quotePrefix="0" xfId="0">
      <alignment horizontal="center" vertical="center"/>
    </xf>
    <xf numFmtId="0" fontId="6" fillId="14" borderId="1" applyAlignment="1" pivotButton="0" quotePrefix="0" xfId="0">
      <alignment vertical="center"/>
    </xf>
    <xf numFmtId="0" fontId="6" fillId="15" borderId="1" applyAlignment="1" pivotButton="0" quotePrefix="0" xfId="0">
      <alignment vertical="center"/>
    </xf>
    <xf numFmtId="0" fontId="6" fillId="16" borderId="1" applyAlignment="1" pivotButton="0" quotePrefix="0" xfId="0">
      <alignment vertical="center"/>
    </xf>
    <xf numFmtId="0" fontId="6" fillId="1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0" pivotButton="0" quotePrefix="0" xfId="0"/>
    <xf numFmtId="0" fontId="12" fillId="17" borderId="2" applyAlignment="1" pivotButton="0" quotePrefix="0" xfId="0">
      <alignment horizontal="center"/>
    </xf>
    <xf numFmtId="0" fontId="3" fillId="12" borderId="2" applyAlignment="1" pivotButton="0" quotePrefix="0" xfId="0">
      <alignment horizontal="center"/>
    </xf>
    <xf numFmtId="0" fontId="3" fillId="12" borderId="2" applyAlignment="1" pivotButton="0" quotePrefix="0" xfId="0">
      <alignment vertical="top" wrapText="1"/>
    </xf>
    <xf numFmtId="0" fontId="3" fillId="18" borderId="2" applyAlignment="1" pivotButton="0" quotePrefix="0" xfId="0">
      <alignment horizontal="center" vertical="center"/>
    </xf>
    <xf numFmtId="0" fontId="10" fillId="9" borderId="0" pivotButton="0" quotePrefix="0" xfId="0"/>
    <xf numFmtId="0" fontId="7" fillId="13" borderId="2" applyAlignment="1" pivotButton="0" quotePrefix="0" xfId="0">
      <alignment horizontal="center"/>
    </xf>
    <xf numFmtId="0" fontId="7" fillId="13" borderId="2" applyAlignment="1" pivotButton="0" quotePrefix="0" xfId="0">
      <alignment vertical="top" wrapText="1"/>
    </xf>
    <xf numFmtId="0" fontId="3" fillId="10" borderId="2" applyAlignment="1" pivotButton="0" quotePrefix="0" xfId="0">
      <alignment horizontal="center"/>
    </xf>
    <xf numFmtId="164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vertical="top" wrapText="1"/>
    </xf>
    <xf numFmtId="0" fontId="1" fillId="8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9" fillId="9" borderId="0" pivotButton="0" quotePrefix="0" xfId="0"/>
    <xf numFmtId="164" fontId="11" fillId="9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0" applyAlignment="1" pivotButton="0" quotePrefix="0" xfId="0">
      <alignment horizontal="left" vertical="center" indent="1"/>
    </xf>
    <xf numFmtId="164" fontId="6" fillId="8" borderId="2" applyAlignment="1" pivotButton="0" quotePrefix="0" xfId="0">
      <alignment horizontal="center" vertical="center"/>
    </xf>
    <xf numFmtId="164" fontId="11" fillId="9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M13" sqref="M13"/>
    </sheetView>
  </sheetViews>
  <sheetFormatPr baseColWidth="8" defaultRowHeight="13"/>
  <cols>
    <col width="5" customWidth="1" style="45" min="1" max="1"/>
    <col width="20" customWidth="1" style="45" min="2" max="2"/>
    <col width="16" customWidth="1" style="45" min="3" max="3"/>
    <col width="22" customWidth="1" style="45" min="4" max="4"/>
    <col width="8" customWidth="1" style="45" min="5" max="5"/>
    <col width="10" customWidth="1" style="45" min="6" max="6"/>
    <col width="14" customWidth="1" style="45" min="7" max="7"/>
    <col width="8" customWidth="1" style="45" min="8" max="8"/>
    <col width="10" customWidth="1" style="45" min="9" max="9"/>
    <col width="24" customWidth="1" style="45" min="10" max="10"/>
  </cols>
  <sheetData>
    <row r="1" ht="36" customHeight="1" s="45">
      <c r="A1" s="50" t="inlineStr">
        <is>
          <t>🏮 AI落語 演目マスターリスト</t>
        </is>
      </c>
    </row>
    <row r="2" ht="22" customHeight="1" s="45">
      <c r="A2" s="1" t="inlineStr">
        <is>
          <t>No.</t>
        </is>
      </c>
      <c r="B2" s="1" t="inlineStr">
        <is>
          <t>演目名</t>
        </is>
      </c>
      <c r="C2" s="1" t="inlineStr">
        <is>
          <t>読み方</t>
        </is>
      </c>
      <c r="D2" s="1" t="inlineStr">
        <is>
          <t>英語タイトル</t>
        </is>
      </c>
      <c r="E2" s="1" t="inlineStr">
        <is>
          <t>ランク</t>
        </is>
      </c>
      <c r="F2" s="1" t="inlineStr">
        <is>
          <t>長さ（分）</t>
        </is>
      </c>
      <c r="G2" s="1" t="inlineStr">
        <is>
          <t>テーマ</t>
        </is>
      </c>
      <c r="H2" s="1" t="inlineStr">
        <is>
          <t>キャラ数</t>
        </is>
      </c>
      <c r="I2" s="1" t="inlineStr">
        <is>
          <t>制作状況</t>
        </is>
      </c>
      <c r="J2" s="1" t="inlineStr">
        <is>
          <t>メモ</t>
        </is>
      </c>
    </row>
    <row r="3" ht="20" customHeight="1" s="45">
      <c r="A3" s="2" t="n">
        <v>1</v>
      </c>
      <c r="B3" s="3" t="inlineStr">
        <is>
          <t>時そば</t>
        </is>
      </c>
      <c r="C3" s="2" t="inlineStr">
        <is>
          <t>ときそば</t>
        </is>
      </c>
      <c r="D3" s="2" t="inlineStr">
        <is>
          <t>Time Noodles</t>
        </is>
      </c>
      <c r="E3" s="2" t="inlineStr">
        <is>
          <t>🔥 強</t>
        </is>
      </c>
      <c r="F3" s="2" t="n">
        <v>3</v>
      </c>
      <c r="G3" s="2" t="inlineStr">
        <is>
          <t>詐欺・食べ物</t>
        </is>
      </c>
      <c r="H3" s="2" t="n">
        <v>2</v>
      </c>
      <c r="I3" s="4" t="inlineStr">
        <is>
          <t>✅ 完成</t>
        </is>
      </c>
      <c r="J3" s="5" t="inlineStr">
        <is>
          <t>エース第1弾</t>
        </is>
      </c>
    </row>
    <row r="4" ht="20" customHeight="1" s="45">
      <c r="A4" s="2" t="n">
        <v>2</v>
      </c>
      <c r="B4" s="3" t="inlineStr">
        <is>
          <t>まんじゅうこわい</t>
        </is>
      </c>
      <c r="C4" s="2" t="inlineStr">
        <is>
          <t>まんじゅうこわい</t>
        </is>
      </c>
      <c r="D4" s="2" t="inlineStr">
        <is>
          <t>Scared of Manju</t>
        </is>
      </c>
      <c r="E4" s="2" t="inlineStr">
        <is>
          <t>🔥 強</t>
        </is>
      </c>
      <c r="F4" s="2" t="n">
        <v>4</v>
      </c>
      <c r="G4" s="2" t="inlineStr">
        <is>
          <t>食べ物・笑い</t>
        </is>
      </c>
      <c r="H4" s="2" t="n">
        <v>3</v>
      </c>
      <c r="I4" s="6" t="inlineStr">
        <is>
          <t>🔧 制作中</t>
        </is>
      </c>
      <c r="J4" s="5" t="inlineStr">
        <is>
          <t>エース第2弾</t>
        </is>
      </c>
    </row>
    <row r="5" ht="20" customHeight="1" s="45">
      <c r="A5" s="2" t="n">
        <v>3</v>
      </c>
      <c r="B5" s="3" t="inlineStr">
        <is>
          <t>寿限無</t>
        </is>
      </c>
      <c r="C5" s="2" t="inlineStr">
        <is>
          <t>じゅげむ</t>
        </is>
      </c>
      <c r="D5" s="2" t="inlineStr">
        <is>
          <t>The Long Name</t>
        </is>
      </c>
      <c r="E5" s="2" t="inlineStr">
        <is>
          <t>🔥 強</t>
        </is>
      </c>
      <c r="F5" s="2" t="n">
        <v>6</v>
      </c>
      <c r="G5" s="2" t="inlineStr">
        <is>
          <t>命名・言葉遊び</t>
        </is>
      </c>
      <c r="H5" s="2" t="n">
        <v>3</v>
      </c>
      <c r="I5" s="7" t="inlineStr">
        <is>
          <t>📝 予定</t>
        </is>
      </c>
      <c r="J5" s="5" t="inlineStr">
        <is>
          <t>定番入門演目</t>
        </is>
      </c>
    </row>
    <row r="6" ht="20" customHeight="1" s="45">
      <c r="A6" s="2" t="n">
        <v>4</v>
      </c>
      <c r="B6" s="3" t="inlineStr">
        <is>
          <t>初天神</t>
        </is>
      </c>
      <c r="C6" s="2" t="inlineStr">
        <is>
          <t>はつてんじん</t>
        </is>
      </c>
      <c r="D6" s="2" t="inlineStr">
        <is>
          <t>First Visit to Tenjin</t>
        </is>
      </c>
      <c r="E6" s="2" t="inlineStr">
        <is>
          <t>🔥 強</t>
        </is>
      </c>
      <c r="F6" s="2" t="n">
        <v>8</v>
      </c>
      <c r="G6" s="2" t="inlineStr">
        <is>
          <t>親子・食べ物</t>
        </is>
      </c>
      <c r="H6" s="2" t="n">
        <v>2</v>
      </c>
      <c r="I6" s="7" t="inlineStr">
        <is>
          <t>📝 予定</t>
        </is>
      </c>
      <c r="J6" s="5" t="n"/>
    </row>
    <row r="7" ht="20" customHeight="1" s="45">
      <c r="A7" s="8" t="n">
        <v>5</v>
      </c>
      <c r="B7" s="9" t="inlineStr">
        <is>
          <t>長屋の花見</t>
        </is>
      </c>
      <c r="C7" s="8" t="inlineStr">
        <is>
          <t>ながやのはなみ</t>
        </is>
      </c>
      <c r="D7" s="8" t="inlineStr">
        <is>
          <t>Cherry Blossom Party</t>
        </is>
      </c>
      <c r="E7" s="8" t="inlineStr">
        <is>
          <t>⚖️ 中</t>
        </is>
      </c>
      <c r="F7" s="8" t="n">
        <v>8</v>
      </c>
      <c r="G7" s="8" t="inlineStr">
        <is>
          <t>貧乏・花見</t>
        </is>
      </c>
      <c r="H7" s="8" t="n">
        <v>5</v>
      </c>
      <c r="I7" s="7" t="inlineStr">
        <is>
          <t>📝 予定</t>
        </is>
      </c>
      <c r="J7" s="10" t="n"/>
    </row>
    <row r="8" ht="20" customHeight="1" s="45">
      <c r="A8" s="8" t="n">
        <v>6</v>
      </c>
      <c r="B8" s="9" t="inlineStr">
        <is>
          <t>猫の皿</t>
        </is>
      </c>
      <c r="C8" s="8" t="inlineStr">
        <is>
          <t>ねこのさら</t>
        </is>
      </c>
      <c r="D8" s="8" t="inlineStr">
        <is>
          <t>The Cat's Plate</t>
        </is>
      </c>
      <c r="E8" s="8" t="inlineStr">
        <is>
          <t>⚖️ 中</t>
        </is>
      </c>
      <c r="F8" s="8" t="n">
        <v>3</v>
      </c>
      <c r="G8" s="8" t="inlineStr">
        <is>
          <t>骨董・詐欺</t>
        </is>
      </c>
      <c r="H8" s="8" t="n">
        <v>2</v>
      </c>
      <c r="I8" s="7" t="inlineStr">
        <is>
          <t>📝 予定</t>
        </is>
      </c>
      <c r="J8" s="10" t="n"/>
    </row>
    <row r="9" ht="20" customHeight="1" s="45">
      <c r="A9" s="8" t="n">
        <v>7</v>
      </c>
      <c r="B9" s="9" t="inlineStr">
        <is>
          <t>転失気</t>
        </is>
      </c>
      <c r="C9" s="8" t="inlineStr">
        <is>
          <t>てんしき</t>
        </is>
      </c>
      <c r="D9" s="8" t="inlineStr">
        <is>
          <t>The Broken Wind</t>
        </is>
      </c>
      <c r="E9" s="8" t="inlineStr">
        <is>
          <t>⚖️ 中</t>
        </is>
      </c>
      <c r="F9" s="8" t="n">
        <v>6</v>
      </c>
      <c r="G9" s="8" t="inlineStr">
        <is>
          <t>言葉・勘違い</t>
        </is>
      </c>
      <c r="H9" s="8" t="n">
        <v>3</v>
      </c>
      <c r="I9" s="7" t="inlineStr">
        <is>
          <t>📝 予定</t>
        </is>
      </c>
      <c r="J9" s="10" t="inlineStr">
        <is>
          <t>シュール系</t>
        </is>
      </c>
    </row>
    <row r="10" ht="20" customHeight="1" s="45">
      <c r="A10" s="8" t="n">
        <v>8</v>
      </c>
      <c r="B10" s="9" t="inlineStr">
        <is>
          <t>平林</t>
        </is>
      </c>
      <c r="C10" s="8" t="inlineStr">
        <is>
          <t>ひらばやし</t>
        </is>
      </c>
      <c r="D10" s="8" t="inlineStr">
        <is>
          <t>Hirabayashi</t>
        </is>
      </c>
      <c r="E10" s="8" t="inlineStr">
        <is>
          <t>⚖️ 中</t>
        </is>
      </c>
      <c r="F10" s="8" t="n">
        <v>6</v>
      </c>
      <c r="G10" s="8" t="inlineStr">
        <is>
          <t>言葉・使い走り</t>
        </is>
      </c>
      <c r="H10" s="8" t="n">
        <v>2</v>
      </c>
      <c r="I10" s="7" t="inlineStr">
        <is>
          <t>📝 予定</t>
        </is>
      </c>
      <c r="J10" s="10" t="n"/>
    </row>
    <row r="11" ht="20" customHeight="1" s="45">
      <c r="A11" s="4" t="n">
        <v>9</v>
      </c>
      <c r="B11" s="11" t="inlineStr">
        <is>
          <t>牛ほめ</t>
        </is>
      </c>
      <c r="C11" s="4" t="inlineStr">
        <is>
          <t>うしほめ</t>
        </is>
      </c>
      <c r="D11" s="4" t="inlineStr">
        <is>
          <t>Praising the Cow</t>
        </is>
      </c>
      <c r="E11" s="4" t="inlineStr">
        <is>
          <t>🍃 弱</t>
        </is>
      </c>
      <c r="F11" s="4" t="n">
        <v>6</v>
      </c>
      <c r="G11" s="4" t="inlineStr">
        <is>
          <t>褒め・勘違い</t>
        </is>
      </c>
      <c r="H11" s="4" t="n">
        <v>3</v>
      </c>
      <c r="I11" s="7" t="inlineStr">
        <is>
          <t>📝 予定</t>
        </is>
      </c>
      <c r="J11" s="12" t="inlineStr">
        <is>
          <t>ニッチ</t>
        </is>
      </c>
    </row>
    <row r="12" ht="20" customHeight="1" s="45">
      <c r="A12" s="4" t="n">
        <v>10</v>
      </c>
      <c r="B12" s="11" t="inlineStr">
        <is>
          <t>強情灸</t>
        </is>
      </c>
      <c r="C12" s="4" t="inlineStr">
        <is>
          <t>ごうじょうきゅう</t>
        </is>
      </c>
      <c r="D12" s="4" t="inlineStr">
        <is>
          <t>The Stubborn Moxa</t>
        </is>
      </c>
      <c r="E12" s="4" t="inlineStr">
        <is>
          <t>🍃 弱</t>
        </is>
      </c>
      <c r="F12" s="4" t="n">
        <v>5</v>
      </c>
      <c r="G12" s="4" t="inlineStr">
        <is>
          <t>意地・根性</t>
        </is>
      </c>
      <c r="H12" s="4" t="n">
        <v>2</v>
      </c>
      <c r="I12" s="7" t="inlineStr">
        <is>
          <t>📝 予定</t>
        </is>
      </c>
      <c r="J12" s="12" t="inlineStr">
        <is>
          <t>シュール</t>
        </is>
      </c>
    </row>
    <row r="13" ht="20" customHeight="1" s="45">
      <c r="A13" s="4" t="n">
        <v>11</v>
      </c>
      <c r="B13" s="11" t="inlineStr">
        <is>
          <t>粗忽長屋</t>
        </is>
      </c>
      <c r="C13" s="4" t="inlineStr">
        <is>
          <t>そこつながや</t>
        </is>
      </c>
      <c r="D13" s="4" t="inlineStr">
        <is>
          <t>The Absent-Minded Duo</t>
        </is>
      </c>
      <c r="E13" s="4" t="inlineStr">
        <is>
          <t>🍃 弱</t>
        </is>
      </c>
      <c r="F13" s="4" t="n">
        <v>8</v>
      </c>
      <c r="G13" s="4" t="inlineStr">
        <is>
          <t>勘違い・哲学</t>
        </is>
      </c>
      <c r="H13" s="4" t="n">
        <v>3</v>
      </c>
      <c r="I13" s="7" t="inlineStr">
        <is>
          <t>📝 予定</t>
        </is>
      </c>
      <c r="J13" s="12" t="inlineStr">
        <is>
          <t>不条理系</t>
        </is>
      </c>
    </row>
    <row r="14" ht="20" customHeight="1" s="45">
      <c r="A14" s="4" t="n">
        <v>12</v>
      </c>
      <c r="B14" s="11" t="inlineStr">
        <is>
          <t>道灌</t>
        </is>
      </c>
      <c r="C14" s="4" t="inlineStr">
        <is>
          <t>どうかん</t>
        </is>
      </c>
      <c r="D14" s="4" t="inlineStr">
        <is>
          <t>Lord Dokan</t>
        </is>
      </c>
      <c r="E14" s="4" t="inlineStr">
        <is>
          <t>🍃 弱</t>
        </is>
      </c>
      <c r="F14" s="4" t="n">
        <v>6</v>
      </c>
      <c r="G14" s="4" t="inlineStr">
        <is>
          <t>教養・歴史</t>
        </is>
      </c>
      <c r="H14" s="4" t="n">
        <v>2</v>
      </c>
      <c r="I14" s="7" t="inlineStr">
        <is>
          <t>📝 予定</t>
        </is>
      </c>
      <c r="J14" s="12" t="n"/>
    </row>
    <row r="15" ht="20" customHeight="1" s="45">
      <c r="A15" s="2" t="n">
        <v>13</v>
      </c>
      <c r="B15" s="3" t="inlineStr">
        <is>
          <t>芝浜</t>
        </is>
      </c>
      <c r="C15" s="2" t="inlineStr">
        <is>
          <t>しばはま</t>
        </is>
      </c>
      <c r="D15" s="2" t="inlineStr">
        <is>
          <t>Shiba Beach</t>
        </is>
      </c>
      <c r="E15" s="2" t="inlineStr">
        <is>
          <t>🔥 強</t>
        </is>
      </c>
      <c r="F15" s="2" t="n">
        <v>20</v>
      </c>
      <c r="G15" s="2" t="inlineStr">
        <is>
          <t>夫婦・感動</t>
        </is>
      </c>
      <c r="H15" s="2" t="n">
        <v>2</v>
      </c>
      <c r="I15" s="7" t="inlineStr">
        <is>
          <t>📝 予定</t>
        </is>
      </c>
      <c r="J15" s="5" t="inlineStr">
        <is>
          <t>長編・名作</t>
        </is>
      </c>
    </row>
    <row r="16" ht="20" customHeight="1" s="45">
      <c r="A16" s="2" t="n">
        <v>14</v>
      </c>
      <c r="B16" s="3" t="inlineStr">
        <is>
          <t>文七元結</t>
        </is>
      </c>
      <c r="C16" s="2" t="inlineStr">
        <is>
          <t>ぶんしちもとゆい</t>
        </is>
      </c>
      <c r="D16" s="2" t="inlineStr">
        <is>
          <t>Bunshichi Motoyui</t>
        </is>
      </c>
      <c r="E16" s="2" t="inlineStr">
        <is>
          <t>🔥 強</t>
        </is>
      </c>
      <c r="F16" s="2" t="n">
        <v>25</v>
      </c>
      <c r="G16" s="2" t="inlineStr">
        <is>
          <t>人情・義理</t>
        </is>
      </c>
      <c r="H16" s="2" t="n">
        <v>4</v>
      </c>
      <c r="I16" s="7" t="inlineStr">
        <is>
          <t>📝 予定</t>
        </is>
      </c>
      <c r="J16" s="5" t="inlineStr">
        <is>
          <t>長編・感動</t>
        </is>
      </c>
    </row>
    <row r="17" ht="20" customHeight="1" s="45">
      <c r="A17" s="8" t="n">
        <v>15</v>
      </c>
      <c r="B17" s="9" t="inlineStr">
        <is>
          <t>そば清</t>
        </is>
      </c>
      <c r="C17" s="8" t="inlineStr">
        <is>
          <t>そばせい</t>
        </is>
      </c>
      <c r="D17" s="8" t="inlineStr">
        <is>
          <t>Soba-Sei</t>
        </is>
      </c>
      <c r="E17" s="8" t="inlineStr">
        <is>
          <t>⚖️ 中</t>
        </is>
      </c>
      <c r="F17" s="8" t="n">
        <v>8</v>
      </c>
      <c r="G17" s="8" t="inlineStr">
        <is>
          <t>食べ物・大食い</t>
        </is>
      </c>
      <c r="H17" s="8" t="n">
        <v>2</v>
      </c>
      <c r="I17" s="7" t="inlineStr">
        <is>
          <t>📝 予定</t>
        </is>
      </c>
      <c r="J17" s="10" t="n"/>
    </row>
    <row r="18" ht="20" customHeight="1" s="45">
      <c r="A18" s="8" t="n">
        <v>16</v>
      </c>
      <c r="B18" s="9" t="inlineStr">
        <is>
          <t>死神</t>
        </is>
      </c>
      <c r="C18" s="8" t="inlineStr">
        <is>
          <t>しにがみ</t>
        </is>
      </c>
      <c r="D18" s="8" t="inlineStr">
        <is>
          <t>The Grim Reaper</t>
        </is>
      </c>
      <c r="E18" s="8" t="inlineStr">
        <is>
          <t>⚖️ 中</t>
        </is>
      </c>
      <c r="F18" s="8" t="n">
        <v>12</v>
      </c>
      <c r="G18" s="8" t="inlineStr">
        <is>
          <t>ホラー・命</t>
        </is>
      </c>
      <c r="H18" s="8" t="n">
        <v>3</v>
      </c>
      <c r="I18" s="7" t="inlineStr">
        <is>
          <t>📝 予定</t>
        </is>
      </c>
      <c r="J18" s="10" t="inlineStr">
        <is>
          <t>ダーク系</t>
        </is>
      </c>
    </row>
    <row r="19" ht="20" customHeight="1" s="45">
      <c r="A19" s="8" t="n">
        <v>17</v>
      </c>
      <c r="B19" s="9" t="inlineStr">
        <is>
          <t>千両みかん</t>
        </is>
      </c>
      <c r="C19" s="8" t="inlineStr">
        <is>
          <t>せんりょうみかん</t>
        </is>
      </c>
      <c r="D19" s="8" t="inlineStr">
        <is>
          <t>The Thousand Ryo Mikan</t>
        </is>
      </c>
      <c r="E19" s="8" t="inlineStr">
        <is>
          <t>⚖️ 中</t>
        </is>
      </c>
      <c r="F19" s="8" t="n">
        <v>10</v>
      </c>
      <c r="G19" s="8" t="inlineStr">
        <is>
          <t>食べ物・贅沢</t>
        </is>
      </c>
      <c r="H19" s="8" t="n">
        <v>3</v>
      </c>
      <c r="I19" s="7" t="inlineStr">
        <is>
          <t>📝 予定</t>
        </is>
      </c>
      <c r="J19" s="10" t="n"/>
    </row>
    <row r="20" ht="20" customHeight="1" s="45">
      <c r="A20" s="2" t="n">
        <v>18</v>
      </c>
      <c r="B20" s="3" t="inlineStr">
        <is>
          <t>子別れ</t>
        </is>
      </c>
      <c r="C20" s="2" t="inlineStr">
        <is>
          <t>こわかれ</t>
        </is>
      </c>
      <c r="D20" s="2" t="inlineStr">
        <is>
          <t>Parting with a Child</t>
        </is>
      </c>
      <c r="E20" s="2" t="inlineStr">
        <is>
          <t>🔥 強</t>
        </is>
      </c>
      <c r="F20" s="2" t="n">
        <v>15</v>
      </c>
      <c r="G20" s="2" t="inlineStr">
        <is>
          <t>人情・家族</t>
        </is>
      </c>
      <c r="H20" s="2" t="n">
        <v>3</v>
      </c>
      <c r="I20" s="7" t="inlineStr">
        <is>
          <t>📝 予定</t>
        </is>
      </c>
      <c r="J20" s="5" t="inlineStr">
        <is>
          <t>泣ける</t>
        </is>
      </c>
    </row>
    <row r="21" ht="20" customHeight="1" s="45">
      <c r="A21" s="8" t="n">
        <v>19</v>
      </c>
      <c r="B21" s="9" t="inlineStr">
        <is>
          <t>鰻の幇間</t>
        </is>
      </c>
      <c r="C21" s="8" t="inlineStr">
        <is>
          <t>うなぎのたいこもち</t>
        </is>
      </c>
      <c r="D21" s="8" t="inlineStr">
        <is>
          <t>The Flatterer's Eel</t>
        </is>
      </c>
      <c r="E21" s="8" t="inlineStr">
        <is>
          <t>⚖️ 中</t>
        </is>
      </c>
      <c r="F21" s="8" t="n">
        <v>8</v>
      </c>
      <c r="G21" s="8" t="inlineStr">
        <is>
          <t>食べ物・おべっか</t>
        </is>
      </c>
      <c r="H21" s="8" t="n">
        <v>2</v>
      </c>
      <c r="I21" s="7" t="inlineStr">
        <is>
          <t>📝 予定</t>
        </is>
      </c>
      <c r="J21" s="10" t="n"/>
    </row>
    <row r="22" ht="20" customHeight="1" s="45">
      <c r="A22" s="4" t="n">
        <v>20</v>
      </c>
      <c r="B22" s="11" t="inlineStr">
        <is>
          <t>二十四孝</t>
        </is>
      </c>
      <c r="C22" s="4" t="inlineStr">
        <is>
          <t>にじゅうしこう</t>
        </is>
      </c>
      <c r="D22" s="4" t="inlineStr">
        <is>
          <t>Twenty-Four Filial Sons</t>
        </is>
      </c>
      <c r="E22" s="4" t="inlineStr">
        <is>
          <t>🍃 弱</t>
        </is>
      </c>
      <c r="F22" s="4" t="n">
        <v>7</v>
      </c>
      <c r="G22" s="4" t="inlineStr">
        <is>
          <t>親孝行・笑い</t>
        </is>
      </c>
      <c r="H22" s="4" t="n">
        <v>3</v>
      </c>
      <c r="I22" s="7" t="inlineStr">
        <is>
          <t>📝 予定</t>
        </is>
      </c>
      <c r="J22" s="12" t="n"/>
    </row>
    <row r="23" ht="20" customHeight="1" s="45">
      <c r="A23" s="4" t="n">
        <v>21</v>
      </c>
      <c r="B23" s="11" t="inlineStr">
        <is>
          <t>湯屋番</t>
        </is>
      </c>
      <c r="C23" s="4" t="inlineStr">
        <is>
          <t>ゆやばん</t>
        </is>
      </c>
      <c r="D23" s="4" t="inlineStr">
        <is>
          <t>The Bath House Worker</t>
        </is>
      </c>
      <c r="E23" s="4" t="inlineStr">
        <is>
          <t>🍃 弱</t>
        </is>
      </c>
      <c r="F23" s="4" t="n">
        <v>8</v>
      </c>
      <c r="G23" s="4" t="inlineStr">
        <is>
          <t>妄想・笑い</t>
        </is>
      </c>
      <c r="H23" s="4" t="n">
        <v>2</v>
      </c>
      <c r="I23" s="7" t="inlineStr">
        <is>
          <t>📝 予定</t>
        </is>
      </c>
      <c r="J23" s="12" t="n"/>
    </row>
    <row r="24" ht="20" customHeight="1" s="45">
      <c r="A24" s="8" t="n">
        <v>22</v>
      </c>
      <c r="B24" s="9" t="inlineStr">
        <is>
          <t>青菜</t>
        </is>
      </c>
      <c r="C24" s="8" t="inlineStr">
        <is>
          <t>あおな</t>
        </is>
      </c>
      <c r="D24" s="8" t="inlineStr">
        <is>
          <t>The Greens</t>
        </is>
      </c>
      <c r="E24" s="8" t="inlineStr">
        <is>
          <t>⚖️ 中</t>
        </is>
      </c>
      <c r="F24" s="8" t="n">
        <v>8</v>
      </c>
      <c r="G24" s="8" t="inlineStr">
        <is>
          <t>真似・夫婦</t>
        </is>
      </c>
      <c r="H24" s="8" t="n">
        <v>3</v>
      </c>
      <c r="I24" s="7" t="inlineStr">
        <is>
          <t>📝 予定</t>
        </is>
      </c>
      <c r="J24" s="10" t="n"/>
    </row>
    <row r="25" ht="20" customHeight="1" s="45">
      <c r="A25" s="4" t="n">
        <v>23</v>
      </c>
      <c r="B25" s="11" t="inlineStr">
        <is>
          <t>権助魚</t>
        </is>
      </c>
      <c r="C25" s="4" t="inlineStr">
        <is>
          <t>ごんすけさかな</t>
        </is>
      </c>
      <c r="D25" s="4" t="inlineStr">
        <is>
          <t>Gonsuke's Fish</t>
        </is>
      </c>
      <c r="E25" s="4" t="inlineStr">
        <is>
          <t>🍃 弱</t>
        </is>
      </c>
      <c r="F25" s="4" t="n">
        <v>6</v>
      </c>
      <c r="G25" s="4" t="inlineStr">
        <is>
          <t>使用人・笑い</t>
        </is>
      </c>
      <c r="H25" s="4" t="n">
        <v>3</v>
      </c>
      <c r="I25" s="7" t="inlineStr">
        <is>
          <t>📝 予定</t>
        </is>
      </c>
      <c r="J25" s="12" t="n"/>
    </row>
    <row r="26" ht="20" customHeight="1" s="45">
      <c r="A26" s="8" t="n">
        <v>24</v>
      </c>
      <c r="B26" s="9" t="inlineStr">
        <is>
          <t>替り目</t>
        </is>
      </c>
      <c r="C26" s="8" t="inlineStr">
        <is>
          <t>かわりめ</t>
        </is>
      </c>
      <c r="D26" s="8" t="inlineStr">
        <is>
          <t>The Night Watch</t>
        </is>
      </c>
      <c r="E26" s="8" t="inlineStr">
        <is>
          <t>⚖️ 中</t>
        </is>
      </c>
      <c r="F26" s="8" t="n">
        <v>10</v>
      </c>
      <c r="G26" s="8" t="inlineStr">
        <is>
          <t>夫婦・酒</t>
        </is>
      </c>
      <c r="H26" s="8" t="n">
        <v>2</v>
      </c>
      <c r="I26" s="7" t="inlineStr">
        <is>
          <t>📝 予定</t>
        </is>
      </c>
      <c r="J26" s="10" t="n"/>
    </row>
    <row r="27" ht="20" customHeight="1" s="45">
      <c r="A27" s="8" t="n">
        <v>25</v>
      </c>
      <c r="B27" s="9" t="inlineStr">
        <is>
          <t>お見立て</t>
        </is>
      </c>
      <c r="C27" s="8" t="inlineStr">
        <is>
          <t>おみたて</t>
        </is>
      </c>
      <c r="D27" s="8" t="inlineStr">
        <is>
          <t>The Selection</t>
        </is>
      </c>
      <c r="E27" s="8" t="inlineStr">
        <is>
          <t>⚖️ 中</t>
        </is>
      </c>
      <c r="F27" s="8" t="n">
        <v>8</v>
      </c>
      <c r="G27" s="8" t="inlineStr">
        <is>
          <t>吉原・笑い</t>
        </is>
      </c>
      <c r="H27" s="8" t="n">
        <v>3</v>
      </c>
      <c r="I27" s="7" t="inlineStr">
        <is>
          <t>📝 予定</t>
        </is>
      </c>
      <c r="J27" s="10" t="n"/>
    </row>
    <row r="28" ht="20" customHeight="1" s="45">
      <c r="A28" s="8" t="n">
        <v>26</v>
      </c>
      <c r="B28" s="9" t="inlineStr">
        <is>
          <t>明烏</t>
        </is>
      </c>
      <c r="C28" s="8" t="inlineStr">
        <is>
          <t>あけがらす</t>
        </is>
      </c>
      <c r="D28" s="8" t="inlineStr">
        <is>
          <t>The Dawn Crow</t>
        </is>
      </c>
      <c r="E28" s="8" t="inlineStr">
        <is>
          <t>⚖️ 中</t>
        </is>
      </c>
      <c r="F28" s="8" t="n">
        <v>10</v>
      </c>
      <c r="G28" s="8" t="inlineStr">
        <is>
          <t>吉原・真面目</t>
        </is>
      </c>
      <c r="H28" s="8" t="n">
        <v>3</v>
      </c>
      <c r="I28" s="7" t="inlineStr">
        <is>
          <t>📝 予定</t>
        </is>
      </c>
      <c r="J28" s="10" t="n"/>
    </row>
    <row r="29" ht="20" customHeight="1" s="45">
      <c r="A29" s="2" t="n">
        <v>27</v>
      </c>
      <c r="B29" s="3" t="inlineStr">
        <is>
          <t>火焔太鼓</t>
        </is>
      </c>
      <c r="C29" s="2" t="inlineStr">
        <is>
          <t>かえんだいこ</t>
        </is>
      </c>
      <c r="D29" s="2" t="inlineStr">
        <is>
          <t>The Fire Drum</t>
        </is>
      </c>
      <c r="E29" s="2" t="inlineStr">
        <is>
          <t>🔥 強</t>
        </is>
      </c>
      <c r="F29" s="2" t="n">
        <v>10</v>
      </c>
      <c r="G29" s="2" t="inlineStr">
        <is>
          <t>骨董・夫婦</t>
        </is>
      </c>
      <c r="H29" s="2" t="n">
        <v>3</v>
      </c>
      <c r="I29" s="7" t="inlineStr">
        <is>
          <t>📝 予定</t>
        </is>
      </c>
      <c r="J29" s="5" t="inlineStr">
        <is>
          <t>人気演目</t>
        </is>
      </c>
    </row>
    <row r="30" ht="20" customHeight="1" s="45">
      <c r="A30" s="4" t="n">
        <v>28</v>
      </c>
      <c r="B30" s="11" t="inlineStr">
        <is>
          <t>笠碁</t>
        </is>
      </c>
      <c r="C30" s="4" t="inlineStr">
        <is>
          <t>かさご</t>
        </is>
      </c>
      <c r="D30" s="4" t="inlineStr">
        <is>
          <t>Go in the Rain</t>
        </is>
      </c>
      <c r="E30" s="4" t="inlineStr">
        <is>
          <t>🍃 弱</t>
        </is>
      </c>
      <c r="F30" s="4" t="n">
        <v>8</v>
      </c>
      <c r="G30" s="4" t="inlineStr">
        <is>
          <t>友情・囲碁</t>
        </is>
      </c>
      <c r="H30" s="4" t="n">
        <v>2</v>
      </c>
      <c r="I30" s="7" t="inlineStr">
        <is>
          <t>📝 予定</t>
        </is>
      </c>
      <c r="J30" s="12" t="n"/>
    </row>
    <row r="31" ht="20" customHeight="1" s="45">
      <c r="A31" s="4" t="n">
        <v>29</v>
      </c>
      <c r="B31" s="11" t="inlineStr">
        <is>
          <t>浮世床</t>
        </is>
      </c>
      <c r="C31" s="4" t="inlineStr">
        <is>
          <t>うきよどこ</t>
        </is>
      </c>
      <c r="D31" s="4" t="inlineStr">
        <is>
          <t>The Barbershop Tales</t>
        </is>
      </c>
      <c r="E31" s="4" t="inlineStr">
        <is>
          <t>🍃 弱</t>
        </is>
      </c>
      <c r="F31" s="4" t="n">
        <v>7</v>
      </c>
      <c r="G31" s="4" t="inlineStr">
        <is>
          <t>床屋・雑談</t>
        </is>
      </c>
      <c r="H31" s="4" t="n">
        <v>4</v>
      </c>
      <c r="I31" s="7" t="inlineStr">
        <is>
          <t>📝 予定</t>
        </is>
      </c>
      <c r="J31" s="12" t="n"/>
    </row>
    <row r="32" ht="20" customHeight="1" s="45">
      <c r="A32" s="2" t="n">
        <v>30</v>
      </c>
      <c r="B32" s="3" t="inlineStr">
        <is>
          <t>百年目</t>
        </is>
      </c>
      <c r="C32" s="2" t="inlineStr">
        <is>
          <t>ひゃくねんめ</t>
        </is>
      </c>
      <c r="D32" s="2" t="inlineStr">
        <is>
          <t>One Hundred Years</t>
        </is>
      </c>
      <c r="E32" s="2" t="inlineStr">
        <is>
          <t>🔥 強</t>
        </is>
      </c>
      <c r="F32" s="2" t="n">
        <v>18</v>
      </c>
      <c r="G32" s="2" t="inlineStr">
        <is>
          <t>番頭・人情</t>
        </is>
      </c>
      <c r="H32" s="2" t="n">
        <v>3</v>
      </c>
      <c r="I32" s="7" t="inlineStr">
        <is>
          <t>📝 予定</t>
        </is>
      </c>
      <c r="J32" s="5" t="inlineStr">
        <is>
          <t>長編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workbookViewId="0">
      <pane ySplit="3" topLeftCell="A4" activePane="bottomLeft" state="frozen"/>
      <selection pane="bottomLeft" activeCell="G19" sqref="G19"/>
    </sheetView>
  </sheetViews>
  <sheetFormatPr baseColWidth="8" defaultRowHeight="13"/>
  <cols>
    <col width="11" customWidth="1" style="45" min="1" max="1"/>
    <col width="18" customWidth="1" style="45" min="2" max="2"/>
    <col width="16" customWidth="1" style="45" min="3" max="8"/>
    <col width="10" customWidth="1" style="45" min="9" max="9"/>
    <col width="30" customWidth="1" style="45" min="10" max="10"/>
  </cols>
  <sheetData>
    <row r="1" ht="36" customHeight="1" s="45">
      <c r="A1" s="44" t="inlineStr">
        <is>
          <t>🗓️ AI落語 月別セットリスト（時そば固定＋有料6本ローテーション）</t>
        </is>
      </c>
      <c r="K1" s="18" t="n"/>
      <c r="L1" s="18" t="n"/>
    </row>
    <row r="2" ht="18" customHeight="1" s="45">
      <c r="A2" s="46" t="inlineStr">
        <is>
          <t>時そば＝永久無料・固定（本数に含めない） | 8月:有料5本→6本 | 9月:強②追加+中②変更で有料6本→計7本 | 10月以降:強②中②弱②の6枠を弱→中→強の順でローテーション</t>
        </is>
      </c>
      <c r="K2" s="18" t="n"/>
      <c r="L2" s="18" t="n"/>
    </row>
    <row r="3" ht="22" customHeight="1" s="45">
      <c r="A3" s="19" t="inlineStr">
        <is>
          <t>月</t>
        </is>
      </c>
      <c r="B3" s="19" t="inlineStr">
        <is>
          <t>時そば（無料固定）</t>
        </is>
      </c>
      <c r="C3" s="27" t="inlineStr">
        <is>
          <t>🔥 強①</t>
        </is>
      </c>
      <c r="D3" s="27" t="inlineStr">
        <is>
          <t>🔥 強②</t>
        </is>
      </c>
      <c r="E3" s="28" t="inlineStr">
        <is>
          <t>⚖️ 中①</t>
        </is>
      </c>
      <c r="F3" s="28" t="inlineStr">
        <is>
          <t>⚖️ 中②</t>
        </is>
      </c>
      <c r="G3" s="29" t="inlineStr">
        <is>
          <t>🍃 弱①</t>
        </is>
      </c>
      <c r="H3" s="30" t="inlineStr">
        <is>
          <t>🍃 弱②</t>
        </is>
      </c>
      <c r="I3" s="31" t="inlineStr">
        <is>
          <t>総本数</t>
        </is>
      </c>
      <c r="J3" s="32" t="inlineStr">
        <is>
          <t>メモ</t>
        </is>
      </c>
      <c r="K3" s="18" t="n"/>
      <c r="L3" s="18" t="n"/>
    </row>
    <row r="4" ht="20" customHeight="1" s="45">
      <c r="A4" s="51" t="n">
        <v>46235</v>
      </c>
      <c r="B4" s="21" t="inlineStr">
        <is>
          <t>🆓 時そば（無料）</t>
        </is>
      </c>
      <c r="C4" s="21" t="inlineStr">
        <is>
          <t>まんじゅうこわい</t>
        </is>
      </c>
      <c r="D4" s="33" t="n"/>
      <c r="E4" s="34" t="inlineStr">
        <is>
          <t>猫の皿</t>
        </is>
      </c>
      <c r="F4" s="35" t="inlineStr">
        <is>
          <t>転失気</t>
        </is>
      </c>
      <c r="G4" s="36" t="inlineStr">
        <is>
          <t>牛ほめ</t>
        </is>
      </c>
      <c r="H4" s="36" t="inlineStr">
        <is>
          <t>強情灸</t>
        </is>
      </c>
      <c r="I4" s="22">
        <f>COUNTA(C4:H4)+1</f>
        <v/>
      </c>
      <c r="J4" s="37" t="inlineStr">
        <is>
          <t>サービス開始（有料5本＋時そば）</t>
        </is>
      </c>
      <c r="K4" s="18" t="n"/>
      <c r="L4" s="18" t="n"/>
    </row>
    <row r="5" ht="20" customHeight="1" s="45">
      <c r="A5" s="51" t="n">
        <v>46266</v>
      </c>
      <c r="B5" s="21" t="inlineStr">
        <is>
          <t>🆓 時そば（無料）</t>
        </is>
      </c>
      <c r="C5" s="21" t="inlineStr">
        <is>
          <t>まんじゅうこわい</t>
        </is>
      </c>
      <c r="D5" s="38" t="inlineStr">
        <is>
          <t>寿限無</t>
        </is>
      </c>
      <c r="E5" s="34" t="inlineStr">
        <is>
          <t>猫の皿</t>
        </is>
      </c>
      <c r="F5" s="39" t="inlineStr">
        <is>
          <t>長屋の花見</t>
        </is>
      </c>
      <c r="G5" s="36" t="inlineStr">
        <is>
          <t>牛ほめ</t>
        </is>
      </c>
      <c r="H5" s="36" t="inlineStr">
        <is>
          <t>強情灸</t>
        </is>
      </c>
      <c r="I5" s="22">
        <f>COUNTA(C5:H5)+1</f>
        <v/>
      </c>
      <c r="J5" s="37" t="inlineStr">
        <is>
          <t>強②に「寿限無」を追加、中②を「長屋の花見」に変更（有料6本＝計7本に）</t>
        </is>
      </c>
      <c r="K5" s="18" t="n"/>
      <c r="L5" s="18" t="n"/>
    </row>
    <row r="6" ht="20" customHeight="1" s="45">
      <c r="A6" s="51" t="n">
        <v>46296</v>
      </c>
      <c r="B6" s="21" t="inlineStr">
        <is>
          <t>🆓 時そば（無料）</t>
        </is>
      </c>
      <c r="C6" s="21" t="inlineStr">
        <is>
          <t>まんじゅうこわい</t>
        </is>
      </c>
      <c r="D6" s="40" t="inlineStr">
        <is>
          <t>寿限無</t>
        </is>
      </c>
      <c r="E6" s="34" t="inlineStr">
        <is>
          <t>猫の皿</t>
        </is>
      </c>
      <c r="F6" s="35" t="inlineStr">
        <is>
          <t>長屋の花見</t>
        </is>
      </c>
      <c r="G6" s="25" t="inlineStr">
        <is>
          <t>粗忽長屋</t>
        </is>
      </c>
      <c r="H6" s="25" t="inlineStr">
        <is>
          <t>道灌</t>
        </is>
      </c>
      <c r="I6" s="22">
        <f>COUNTA(C6:H6)+1</f>
        <v/>
      </c>
      <c r="J6" s="37" t="inlineStr">
        <is>
          <t>弱を入替（粗忽長屋、道灌）</t>
        </is>
      </c>
      <c r="K6" s="18" t="n"/>
      <c r="L6" s="18" t="n"/>
    </row>
    <row r="7" ht="20" customHeight="1" s="45">
      <c r="A7" s="51" t="n">
        <v>46327</v>
      </c>
      <c r="B7" s="21" t="inlineStr">
        <is>
          <t>🆓 時そば（無料）</t>
        </is>
      </c>
      <c r="C7" s="21" t="inlineStr">
        <is>
          <t>まんじゅうこわい</t>
        </is>
      </c>
      <c r="D7" s="40" t="inlineStr">
        <is>
          <t>寿限無</t>
        </is>
      </c>
      <c r="E7" s="38" t="inlineStr">
        <is>
          <t>平林</t>
        </is>
      </c>
      <c r="F7" s="39" t="inlineStr">
        <is>
          <t>そば清</t>
        </is>
      </c>
      <c r="G7" s="36" t="inlineStr">
        <is>
          <t>粗忽長屋</t>
        </is>
      </c>
      <c r="H7" s="36" t="inlineStr">
        <is>
          <t>道灌</t>
        </is>
      </c>
      <c r="I7" s="22">
        <f>COUNTA(C7:H7)+1</f>
        <v/>
      </c>
      <c r="J7" s="37" t="inlineStr">
        <is>
          <t>中を入替（平林、そば清）</t>
        </is>
      </c>
      <c r="K7" s="18" t="n"/>
      <c r="L7" s="18" t="n"/>
    </row>
    <row r="8" ht="20" customHeight="1" s="45">
      <c r="A8" s="51" t="n">
        <v>46357</v>
      </c>
      <c r="B8" s="21" t="inlineStr">
        <is>
          <t>🆓 時そば（無料）</t>
        </is>
      </c>
      <c r="C8" s="25" t="inlineStr">
        <is>
          <t>初天神</t>
        </is>
      </c>
      <c r="D8" s="38" t="inlineStr">
        <is>
          <t>芝浜</t>
        </is>
      </c>
      <c r="E8" s="34" t="inlineStr">
        <is>
          <t>平林</t>
        </is>
      </c>
      <c r="F8" s="35" t="inlineStr">
        <is>
          <t>そば清</t>
        </is>
      </c>
      <c r="G8" s="36" t="inlineStr">
        <is>
          <t>粗忽長屋</t>
        </is>
      </c>
      <c r="H8" s="36" t="inlineStr">
        <is>
          <t>道灌</t>
        </is>
      </c>
      <c r="I8" s="22">
        <f>COUNTA(C8:H8)+1</f>
        <v/>
      </c>
      <c r="J8" s="37" t="inlineStr">
        <is>
          <t>強を入替（初天神、芝浜）</t>
        </is>
      </c>
      <c r="K8" s="18" t="n"/>
      <c r="L8" s="18" t="n"/>
    </row>
    <row r="9" ht="20" customHeight="1" s="45">
      <c r="A9" s="51" t="n">
        <v>46388</v>
      </c>
      <c r="B9" s="21" t="inlineStr">
        <is>
          <t>🆓 時そば（無料）</t>
        </is>
      </c>
      <c r="C9" s="21" t="inlineStr">
        <is>
          <t>初天神</t>
        </is>
      </c>
      <c r="D9" s="40" t="inlineStr">
        <is>
          <t>芝浜</t>
        </is>
      </c>
      <c r="E9" s="34" t="inlineStr">
        <is>
          <t>平林</t>
        </is>
      </c>
      <c r="F9" s="35" t="inlineStr">
        <is>
          <t>そば清</t>
        </is>
      </c>
      <c r="G9" s="25" t="inlineStr">
        <is>
          <t>二十四孝</t>
        </is>
      </c>
      <c r="H9" s="25" t="inlineStr">
        <is>
          <t>湯屋番</t>
        </is>
      </c>
      <c r="I9" s="22">
        <f>COUNTA(C9:H9)+1</f>
        <v/>
      </c>
      <c r="J9" s="37" t="inlineStr">
        <is>
          <t>弱を入替（二十四孝、湯屋番）</t>
        </is>
      </c>
      <c r="K9" s="18" t="n"/>
      <c r="L9" s="18" t="n"/>
    </row>
    <row r="10" ht="20" customHeight="1" s="45">
      <c r="A10" s="51" t="n">
        <v>46419</v>
      </c>
      <c r="B10" s="21" t="inlineStr">
        <is>
          <t>🆓 時そば（無料）</t>
        </is>
      </c>
      <c r="C10" s="21" t="inlineStr">
        <is>
          <t>初天神</t>
        </is>
      </c>
      <c r="D10" s="40" t="inlineStr">
        <is>
          <t>芝浜</t>
        </is>
      </c>
      <c r="E10" s="38" t="inlineStr">
        <is>
          <t>死神</t>
        </is>
      </c>
      <c r="F10" s="39" t="inlineStr">
        <is>
          <t>千両みかん</t>
        </is>
      </c>
      <c r="G10" s="36" t="inlineStr">
        <is>
          <t>二十四孝</t>
        </is>
      </c>
      <c r="H10" s="36" t="inlineStr">
        <is>
          <t>湯屋番</t>
        </is>
      </c>
      <c r="I10" s="22">
        <f>COUNTA(C10:H10)+1</f>
        <v/>
      </c>
      <c r="J10" s="37" t="inlineStr">
        <is>
          <t>中を入替（死神、千両みかん）</t>
        </is>
      </c>
      <c r="K10" s="18" t="n"/>
      <c r="L10" s="18" t="n"/>
    </row>
    <row r="11" ht="20" customHeight="1" s="45">
      <c r="A11" s="51" t="n">
        <v>46447</v>
      </c>
      <c r="B11" s="21" t="inlineStr">
        <is>
          <t>🆓 時そば（無料）</t>
        </is>
      </c>
      <c r="C11" s="25" t="inlineStr">
        <is>
          <t>文七元結</t>
        </is>
      </c>
      <c r="D11" s="38" t="inlineStr">
        <is>
          <t>子別れ</t>
        </is>
      </c>
      <c r="E11" s="34" t="inlineStr">
        <is>
          <t>死神</t>
        </is>
      </c>
      <c r="F11" s="35" t="inlineStr">
        <is>
          <t>千両みかん</t>
        </is>
      </c>
      <c r="G11" s="36" t="inlineStr">
        <is>
          <t>二十四孝</t>
        </is>
      </c>
      <c r="H11" s="36" t="inlineStr">
        <is>
          <t>湯屋番</t>
        </is>
      </c>
      <c r="I11" s="22">
        <f>COUNTA(C11:H11)+1</f>
        <v/>
      </c>
      <c r="J11" s="37" t="inlineStr">
        <is>
          <t>強を入替（文七元結、子別れ）</t>
        </is>
      </c>
      <c r="K11" s="18" t="n"/>
      <c r="L11" s="18" t="n"/>
    </row>
    <row r="12" ht="20" customHeight="1" s="45">
      <c r="A12" s="51" t="n">
        <v>46478</v>
      </c>
      <c r="B12" s="21" t="inlineStr">
        <is>
          <t>🆓 時そば（無料）</t>
        </is>
      </c>
      <c r="C12" s="21" t="inlineStr">
        <is>
          <t>文七元結</t>
        </is>
      </c>
      <c r="D12" s="40" t="inlineStr">
        <is>
          <t>子別れ</t>
        </is>
      </c>
      <c r="E12" s="34" t="inlineStr">
        <is>
          <t>死神</t>
        </is>
      </c>
      <c r="F12" s="35" t="inlineStr">
        <is>
          <t>千両みかん</t>
        </is>
      </c>
      <c r="G12" s="25" t="inlineStr">
        <is>
          <t>権助魚</t>
        </is>
      </c>
      <c r="H12" s="25" t="inlineStr">
        <is>
          <t>笠碁</t>
        </is>
      </c>
      <c r="I12" s="22">
        <f>COUNTA(C12:H12)+1</f>
        <v/>
      </c>
      <c r="J12" s="37" t="inlineStr">
        <is>
          <t>弱を入替（権助魚、笠碁）</t>
        </is>
      </c>
      <c r="K12" s="18" t="n"/>
      <c r="L12" s="18" t="n"/>
    </row>
    <row r="13" ht="20" customHeight="1" s="45">
      <c r="A13" s="51" t="n">
        <v>46508</v>
      </c>
      <c r="B13" s="21" t="inlineStr">
        <is>
          <t>🆓 時そば（無料）</t>
        </is>
      </c>
      <c r="C13" s="21" t="inlineStr">
        <is>
          <t>文七元結</t>
        </is>
      </c>
      <c r="D13" s="40" t="inlineStr">
        <is>
          <t>子別れ</t>
        </is>
      </c>
      <c r="E13" s="38" t="inlineStr">
        <is>
          <t>鰻の幇間</t>
        </is>
      </c>
      <c r="F13" s="39" t="inlineStr">
        <is>
          <t>青菜</t>
        </is>
      </c>
      <c r="G13" s="36" t="inlineStr">
        <is>
          <t>権助魚</t>
        </is>
      </c>
      <c r="H13" s="36" t="inlineStr">
        <is>
          <t>笠碁</t>
        </is>
      </c>
      <c r="I13" s="22">
        <f>COUNTA(C13:H13)+1</f>
        <v/>
      </c>
      <c r="J13" s="37" t="inlineStr">
        <is>
          <t>中を入替（鰻の幇間、青菜）</t>
        </is>
      </c>
      <c r="K13" s="18" t="n"/>
      <c r="L13" s="18" t="n"/>
    </row>
    <row r="14" ht="20" customHeight="1" s="45">
      <c r="A14" s="51" t="n">
        <v>46539</v>
      </c>
      <c r="B14" s="21" t="inlineStr">
        <is>
          <t>🆓 時そば（無料）</t>
        </is>
      </c>
      <c r="C14" s="25" t="inlineStr">
        <is>
          <t>火焔太鼓</t>
        </is>
      </c>
      <c r="D14" s="38" t="inlineStr">
        <is>
          <t>百年目</t>
        </is>
      </c>
      <c r="E14" s="34" t="inlineStr">
        <is>
          <t>鰻の幇間</t>
        </is>
      </c>
      <c r="F14" s="35" t="inlineStr">
        <is>
          <t>青菜</t>
        </is>
      </c>
      <c r="G14" s="36" t="inlineStr">
        <is>
          <t>権助魚</t>
        </is>
      </c>
      <c r="H14" s="36" t="inlineStr">
        <is>
          <t>笠碁</t>
        </is>
      </c>
      <c r="I14" s="22">
        <f>COUNTA(C14:H14)+1</f>
        <v/>
      </c>
      <c r="J14" s="37" t="inlineStr">
        <is>
          <t>強を入替（火焔太鼓、百年目）</t>
        </is>
      </c>
      <c r="K14" s="18" t="n"/>
      <c r="L14" s="18" t="n"/>
    </row>
    <row r="15" ht="20" customHeight="1" s="45">
      <c r="A15" s="51" t="n">
        <v>46569</v>
      </c>
      <c r="B15" s="21" t="inlineStr">
        <is>
          <t>🆓 時そば（無料）</t>
        </is>
      </c>
      <c r="C15" s="21" t="inlineStr">
        <is>
          <t>火焔太鼓</t>
        </is>
      </c>
      <c r="D15" s="40" t="inlineStr">
        <is>
          <t>百年目</t>
        </is>
      </c>
      <c r="E15" s="34" t="inlineStr">
        <is>
          <t>鰻の幇間</t>
        </is>
      </c>
      <c r="F15" s="35" t="inlineStr">
        <is>
          <t>青菜</t>
        </is>
      </c>
      <c r="G15" s="25" t="inlineStr">
        <is>
          <t>浮世床</t>
        </is>
      </c>
      <c r="H15" s="36" t="inlineStr">
        <is>
          <t>笠碁</t>
        </is>
      </c>
      <c r="I15" s="22">
        <f>COUNTA(C15:H15)+1</f>
        <v/>
      </c>
      <c r="J15" s="37" t="inlineStr">
        <is>
          <t>弱を入替（浮世床）</t>
        </is>
      </c>
      <c r="K15" s="18" t="n"/>
      <c r="L15" s="18" t="n"/>
    </row>
    <row r="16" ht="20" customHeight="1" s="45">
      <c r="A16" s="51" t="n">
        <v>46600</v>
      </c>
      <c r="B16" s="21" t="inlineStr">
        <is>
          <t>🆓 時そば（無料）</t>
        </is>
      </c>
      <c r="C16" s="21" t="inlineStr">
        <is>
          <t>火焔太鼓</t>
        </is>
      </c>
      <c r="D16" s="40" t="inlineStr">
        <is>
          <t>百年目</t>
        </is>
      </c>
      <c r="E16" s="38" t="inlineStr">
        <is>
          <t>替り目</t>
        </is>
      </c>
      <c r="F16" s="39" t="inlineStr">
        <is>
          <t>お見立て</t>
        </is>
      </c>
      <c r="G16" s="36" t="inlineStr">
        <is>
          <t>浮世床</t>
        </is>
      </c>
      <c r="H16" s="36" t="inlineStr">
        <is>
          <t>笠碁</t>
        </is>
      </c>
      <c r="I16" s="22">
        <f>COUNTA(C16:H16)+1</f>
        <v/>
      </c>
      <c r="J16" s="37" t="inlineStr">
        <is>
          <t>中を入替（替り目、お見立て）</t>
        </is>
      </c>
      <c r="K16" s="18" t="n"/>
      <c r="L16" s="18" t="n"/>
    </row>
    <row r="17" ht="20" customHeight="1" s="45">
      <c r="A17" s="51" t="n">
        <v>46631</v>
      </c>
      <c r="B17" s="21" t="inlineStr">
        <is>
          <t>🆓 時そば（無料）</t>
        </is>
      </c>
      <c r="C17" s="21" t="inlineStr">
        <is>
          <t>火焔太鼓</t>
        </is>
      </c>
      <c r="D17" s="40" t="inlineStr">
        <is>
          <t>百年目</t>
        </is>
      </c>
      <c r="E17" s="38" t="inlineStr">
        <is>
          <t>明烏</t>
        </is>
      </c>
      <c r="F17" s="35" t="inlineStr">
        <is>
          <t>お見立て</t>
        </is>
      </c>
      <c r="G17" s="36" t="inlineStr">
        <is>
          <t>浮世床</t>
        </is>
      </c>
      <c r="H17" s="36" t="inlineStr">
        <is>
          <t>笠碁</t>
        </is>
      </c>
      <c r="I17" s="22">
        <f>COUNTA(C17:H17)+1</f>
        <v/>
      </c>
      <c r="J17" s="37" t="inlineStr">
        <is>
          <t>中を入替（明烏）　※これで全30演目が出揃いました</t>
        </is>
      </c>
      <c r="K17" s="18" t="n"/>
      <c r="L17" s="18" t="n"/>
    </row>
    <row r="18" ht="18" customHeight="1" s="45">
      <c r="A18" s="52" t="inlineStr">
        <is>
          <t>※ この表は全30演目が最初に出揃うまでのスケジュールです。それ以降のローテーション（既出演目の再登板を含む）は改めて計画します。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9" t="n"/>
      <c r="K18" s="18" t="n"/>
      <c r="L18" s="18" t="n"/>
    </row>
    <row r="19" ht="20" customHeight="1" s="45">
      <c r="A19" s="53" t="n"/>
      <c r="B19" s="23" t="n"/>
      <c r="C19" s="23" t="n"/>
      <c r="D19" s="42" t="n"/>
      <c r="E19" s="42" t="n"/>
      <c r="F19" s="43" t="n"/>
      <c r="G19" s="23" t="n"/>
      <c r="H19" s="23" t="n"/>
      <c r="I19" s="24" t="n"/>
      <c r="J19" s="18" t="n"/>
      <c r="K19" s="18" t="n"/>
      <c r="L19" s="18" t="n"/>
    </row>
    <row r="20" ht="20" customHeight="1" s="45">
      <c r="A20" s="53" t="n"/>
      <c r="B20" s="23" t="n"/>
      <c r="C20" s="23" t="n"/>
      <c r="D20" s="42" t="n"/>
      <c r="E20" s="42" t="n"/>
      <c r="F20" s="43" t="n"/>
      <c r="G20" s="23" t="n"/>
      <c r="H20" s="23" t="n"/>
      <c r="I20" s="24" t="n"/>
      <c r="J20" s="18" t="n"/>
      <c r="K20" s="18" t="n"/>
      <c r="L20" s="18" t="n"/>
    </row>
    <row r="21" ht="20" customHeight="1" s="45">
      <c r="A21" s="53" t="n"/>
      <c r="B21" s="23" t="n"/>
      <c r="C21" s="23" t="n"/>
      <c r="D21" s="42" t="n"/>
      <c r="E21" s="42" t="n"/>
      <c r="F21" s="43" t="n"/>
      <c r="G21" s="23" t="n"/>
      <c r="H21" s="23" t="n"/>
      <c r="I21" s="24" t="n"/>
      <c r="J21" s="18" t="n"/>
      <c r="K21" s="18" t="n"/>
      <c r="L21" s="18" t="n"/>
    </row>
    <row r="22" ht="20" customHeight="1" s="45">
      <c r="A22" s="53" t="n"/>
      <c r="B22" s="23" t="n"/>
      <c r="C22" s="23" t="n"/>
      <c r="D22" s="42" t="n"/>
      <c r="E22" s="42" t="n"/>
      <c r="F22" s="43" t="n"/>
      <c r="G22" s="23" t="n"/>
      <c r="H22" s="23" t="n"/>
      <c r="I22" s="24" t="n"/>
      <c r="J22" s="18" t="n"/>
      <c r="K22" s="18" t="n"/>
      <c r="L22" s="18" t="n"/>
    </row>
    <row r="23" ht="20" customHeight="1" s="45">
      <c r="A23" s="53" t="n"/>
      <c r="B23" s="23" t="n"/>
      <c r="C23" s="23" t="n"/>
      <c r="D23" s="42" t="n"/>
      <c r="E23" s="42" t="n"/>
      <c r="F23" s="43" t="n"/>
      <c r="G23" s="23" t="n"/>
      <c r="H23" s="23" t="n"/>
      <c r="I23" s="24" t="n"/>
      <c r="J23" s="18" t="n"/>
      <c r="K23" s="18" t="n"/>
      <c r="L23" s="18" t="n"/>
    </row>
    <row r="24" ht="20" customHeight="1" s="45">
      <c r="A24" s="53" t="n"/>
      <c r="B24" s="23" t="n"/>
      <c r="C24" s="23" t="n"/>
      <c r="D24" s="42" t="n"/>
      <c r="E24" s="42" t="n"/>
      <c r="F24" s="43" t="n"/>
      <c r="G24" s="23" t="n"/>
      <c r="H24" s="23" t="n"/>
      <c r="I24" s="24" t="n"/>
      <c r="J24" s="18" t="n"/>
      <c r="K24" s="18" t="n"/>
      <c r="L24" s="18" t="n"/>
    </row>
    <row r="25" ht="20" customHeight="1" s="45">
      <c r="A25" s="53" t="n"/>
      <c r="B25" s="23" t="n"/>
      <c r="C25" s="23" t="n"/>
      <c r="D25" s="42" t="n"/>
      <c r="E25" s="42" t="n"/>
      <c r="F25" s="43" t="n"/>
      <c r="G25" s="23" t="n"/>
      <c r="H25" s="23" t="n"/>
      <c r="I25" s="24" t="n"/>
      <c r="J25" s="18" t="n"/>
      <c r="K25" s="18" t="n"/>
      <c r="L25" s="18" t="n"/>
    </row>
    <row r="26" ht="20" customHeight="1" s="45">
      <c r="A26" s="53" t="n"/>
      <c r="B26" s="23" t="n"/>
      <c r="C26" s="23" t="n"/>
      <c r="D26" s="42" t="n"/>
      <c r="E26" s="42" t="n"/>
      <c r="F26" s="43" t="n"/>
      <c r="G26" s="23" t="n"/>
      <c r="H26" s="23" t="n"/>
      <c r="I26" s="24" t="n"/>
      <c r="J26" s="18" t="n"/>
      <c r="K26" s="18" t="n"/>
      <c r="L26" s="18" t="n"/>
    </row>
    <row r="27" ht="20" customHeight="1" s="45">
      <c r="A27" s="53" t="n"/>
      <c r="B27" s="23" t="n"/>
      <c r="C27" s="23" t="n"/>
      <c r="D27" s="42" t="n"/>
      <c r="E27" s="42" t="n"/>
      <c r="F27" s="43" t="n"/>
      <c r="G27" s="23" t="n"/>
      <c r="H27" s="23" t="n"/>
      <c r="I27" s="24" t="n"/>
      <c r="J27" s="18" t="n"/>
      <c r="K27" s="18" t="n"/>
      <c r="L27" s="18" t="n"/>
    </row>
    <row r="28" ht="20" customHeight="1" s="45">
      <c r="A28" s="53" t="n"/>
      <c r="B28" s="23" t="n"/>
      <c r="C28" s="23" t="n"/>
      <c r="D28" s="42" t="n"/>
      <c r="E28" s="42" t="n"/>
      <c r="F28" s="43" t="n"/>
      <c r="G28" s="23" t="n"/>
      <c r="H28" s="23" t="n"/>
      <c r="I28" s="24" t="n"/>
      <c r="J28" s="18" t="n"/>
      <c r="K28" s="18" t="n"/>
      <c r="L28" s="18" t="n"/>
    </row>
    <row r="29" ht="18" customHeight="1" s="45">
      <c r="A29" s="26" t="n"/>
      <c r="B29" s="18" t="n"/>
      <c r="C29" s="18" t="n"/>
      <c r="D29" s="18" t="n"/>
      <c r="E29" s="18" t="n"/>
      <c r="F29" s="18" t="n"/>
      <c r="G29" s="18" t="n"/>
      <c r="H29" s="23" t="n"/>
      <c r="I29" s="24" t="n"/>
      <c r="J29" s="18" t="n"/>
      <c r="K29" s="18" t="n"/>
      <c r="L29" s="18" t="n"/>
    </row>
    <row r="30" ht="20" customHeight="1" s="45">
      <c r="A30" s="26" t="n"/>
      <c r="B30" s="23" t="n"/>
      <c r="C30" s="23" t="n"/>
      <c r="D30" s="23" t="n"/>
      <c r="E30" s="23" t="n"/>
      <c r="F30" s="23" t="n"/>
      <c r="G30" s="23" t="n"/>
      <c r="H30" s="23" t="n"/>
      <c r="I30" s="24" t="n"/>
      <c r="J30" s="18" t="n"/>
      <c r="K30" s="18" t="n"/>
      <c r="L30" s="18" t="n"/>
    </row>
    <row r="31" ht="20" customHeight="1" s="45">
      <c r="A31" s="26" t="n"/>
      <c r="B31" s="23" t="n"/>
      <c r="C31" s="23" t="n"/>
      <c r="D31" s="23" t="n"/>
      <c r="E31" s="23" t="n"/>
      <c r="F31" s="23" t="n"/>
      <c r="G31" s="23" t="n"/>
      <c r="H31" s="23" t="n"/>
      <c r="I31" s="24" t="n"/>
      <c r="J31" s="18" t="n"/>
      <c r="K31" s="18" t="n"/>
      <c r="L31" s="18" t="n"/>
    </row>
    <row r="32" ht="20" customHeight="1" s="45">
      <c r="A32" s="26" t="n"/>
      <c r="B32" s="23" t="n"/>
      <c r="C32" s="23" t="n"/>
      <c r="D32" s="23" t="n"/>
      <c r="E32" s="23" t="n"/>
      <c r="F32" s="23" t="n"/>
      <c r="G32" s="23" t="n"/>
      <c r="H32" s="23" t="n"/>
      <c r="I32" s="24" t="n"/>
      <c r="J32" s="18" t="n"/>
      <c r="K32" s="18" t="n"/>
      <c r="L32" s="18" t="n"/>
    </row>
    <row r="33" ht="20" customHeight="1" s="45">
      <c r="A33" s="26" t="n"/>
      <c r="B33" s="23" t="n"/>
      <c r="C33" s="23" t="n"/>
      <c r="D33" s="23" t="n"/>
      <c r="E33" s="23" t="n"/>
      <c r="F33" s="23" t="n"/>
      <c r="G33" s="23" t="n"/>
      <c r="H33" s="23" t="n"/>
      <c r="I33" s="24" t="n"/>
      <c r="J33" s="18" t="n"/>
      <c r="K33" s="18" t="n"/>
      <c r="L33" s="18" t="n"/>
    </row>
    <row r="34" ht="14" customHeight="1" s="45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 ht="14" customHeight="1" s="4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 ht="14" customHeight="1" s="45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 ht="14" customHeight="1" s="45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 ht="14" customHeight="1" s="45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</row>
    <row r="39" ht="14" customHeight="1" s="45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 ht="14" customHeight="1" s="45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</sheetData>
  <mergeCells count="3">
    <mergeCell ref="A1:J1"/>
    <mergeCell ref="A18:J1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:H1"/>
    </sheetView>
  </sheetViews>
  <sheetFormatPr baseColWidth="8" defaultRowHeight="13"/>
  <cols>
    <col width="5" customWidth="1" style="45" min="1" max="1"/>
    <col width="18" customWidth="1" style="45" min="2" max="2"/>
    <col width="10" customWidth="1" style="45" min="3" max="7"/>
    <col width="14" customWidth="1" style="45" min="8" max="8"/>
  </cols>
  <sheetData>
    <row r="1" ht="36" customHeight="1" s="45">
      <c r="A1" s="50" t="inlineStr">
        <is>
          <t>📊 AI落語 制作進捗管理</t>
        </is>
      </c>
    </row>
    <row r="2" ht="22" customHeight="1" s="45">
      <c r="A2" s="1" t="inlineStr">
        <is>
          <t>No.</t>
        </is>
      </c>
      <c r="B2" s="1" t="inlineStr">
        <is>
          <t>演目名</t>
        </is>
      </c>
      <c r="C2" s="1" t="inlineStr">
        <is>
          <t>テキスト</t>
        </is>
      </c>
      <c r="D2" s="1" t="inlineStr">
        <is>
          <t>SSML</t>
        </is>
      </c>
      <c r="E2" s="1" t="inlineStr">
        <is>
          <t>日本語音声</t>
        </is>
      </c>
      <c r="F2" s="1" t="inlineStr">
        <is>
          <t>多言語音声</t>
        </is>
      </c>
      <c r="G2" s="1" t="inlineStr">
        <is>
          <t>字幕HTML</t>
        </is>
      </c>
      <c r="H2" s="1" t="inlineStr">
        <is>
          <t>公開予定月</t>
        </is>
      </c>
    </row>
    <row r="3" ht="20" customHeight="1" s="45">
      <c r="A3" s="16" t="n">
        <v>1</v>
      </c>
      <c r="B3" s="17" t="inlineStr">
        <is>
          <t>時そば</t>
        </is>
      </c>
      <c r="C3" s="13" t="inlineStr">
        <is>
          <t>✅</t>
        </is>
      </c>
      <c r="D3" s="13" t="inlineStr">
        <is>
          <t>✅</t>
        </is>
      </c>
      <c r="E3" s="13" t="inlineStr">
        <is>
          <t>✅</t>
        </is>
      </c>
      <c r="F3" s="14" t="inlineStr">
        <is>
          <t>🔧</t>
        </is>
      </c>
      <c r="G3" s="13" t="inlineStr">
        <is>
          <t>✅</t>
        </is>
      </c>
      <c r="H3" s="16" t="inlineStr">
        <is>
          <t>2025年1月</t>
        </is>
      </c>
    </row>
    <row r="4" ht="20" customHeight="1" s="45">
      <c r="A4" s="16" t="n">
        <v>2</v>
      </c>
      <c r="B4" s="17" t="inlineStr">
        <is>
          <t>まんじゅうこわい</t>
        </is>
      </c>
      <c r="C4" s="13" t="inlineStr">
        <is>
          <t>✅</t>
        </is>
      </c>
      <c r="D4" s="13" t="inlineStr">
        <is>
          <t>✅</t>
        </is>
      </c>
      <c r="E4" s="14" t="inlineStr">
        <is>
          <t>🔧</t>
        </is>
      </c>
      <c r="F4" s="15" t="inlineStr">
        <is>
          <t>📝</t>
        </is>
      </c>
      <c r="G4" s="13" t="inlineStr">
        <is>
          <t>✅</t>
        </is>
      </c>
      <c r="H4" s="16" t="inlineStr">
        <is>
          <t>2025年1月</t>
        </is>
      </c>
    </row>
    <row r="5" ht="20" customHeight="1" s="45">
      <c r="A5" s="16" t="n">
        <v>3</v>
      </c>
      <c r="B5" s="17" t="inlineStr">
        <is>
          <t>寿限無</t>
        </is>
      </c>
      <c r="C5" s="15" t="inlineStr">
        <is>
          <t>📝</t>
        </is>
      </c>
      <c r="D5" s="15" t="inlineStr">
        <is>
          <t>📝</t>
        </is>
      </c>
      <c r="E5" s="15" t="inlineStr">
        <is>
          <t>📝</t>
        </is>
      </c>
      <c r="F5" s="15" t="inlineStr">
        <is>
          <t>📝</t>
        </is>
      </c>
      <c r="G5" s="15" t="inlineStr">
        <is>
          <t>📝</t>
        </is>
      </c>
      <c r="H5" s="16" t="inlineStr">
        <is>
          <t>2025年3月</t>
        </is>
      </c>
    </row>
    <row r="6" ht="20" customHeight="1" s="45">
      <c r="A6" s="16" t="n">
        <v>4</v>
      </c>
      <c r="B6" s="17" t="inlineStr">
        <is>
          <t>初天神</t>
        </is>
      </c>
      <c r="C6" s="15" t="inlineStr">
        <is>
          <t>📝</t>
        </is>
      </c>
      <c r="D6" s="15" t="inlineStr">
        <is>
          <t>📝</t>
        </is>
      </c>
      <c r="E6" s="15" t="inlineStr">
        <is>
          <t>📝</t>
        </is>
      </c>
      <c r="F6" s="15" t="inlineStr">
        <is>
          <t>📝</t>
        </is>
      </c>
      <c r="G6" s="15" t="inlineStr">
        <is>
          <t>📝</t>
        </is>
      </c>
      <c r="H6" s="16" t="inlineStr">
        <is>
          <t>2025年4月</t>
        </is>
      </c>
    </row>
    <row r="7" ht="20" customHeight="1" s="45">
      <c r="A7" s="16" t="n">
        <v>5</v>
      </c>
      <c r="B7" s="17" t="inlineStr">
        <is>
          <t>長屋の花見</t>
        </is>
      </c>
      <c r="C7" s="15" t="inlineStr">
        <is>
          <t>📝</t>
        </is>
      </c>
      <c r="D7" s="15" t="inlineStr">
        <is>
          <t>📝</t>
        </is>
      </c>
      <c r="E7" s="15" t="inlineStr">
        <is>
          <t>📝</t>
        </is>
      </c>
      <c r="F7" s="15" t="inlineStr">
        <is>
          <t>📝</t>
        </is>
      </c>
      <c r="G7" s="15" t="inlineStr">
        <is>
          <t>📝</t>
        </is>
      </c>
      <c r="H7" s="16" t="inlineStr">
        <is>
          <t>2025年5月</t>
        </is>
      </c>
    </row>
    <row r="8" ht="20" customHeight="1" s="45">
      <c r="A8" s="16" t="n">
        <v>6</v>
      </c>
      <c r="B8" s="17" t="inlineStr">
        <is>
          <t>猫の皿</t>
        </is>
      </c>
      <c r="C8" s="15" t="inlineStr">
        <is>
          <t>📝</t>
        </is>
      </c>
      <c r="D8" s="15" t="inlineStr">
        <is>
          <t>📝</t>
        </is>
      </c>
      <c r="E8" s="15" t="inlineStr">
        <is>
          <t>📝</t>
        </is>
      </c>
      <c r="F8" s="15" t="inlineStr">
        <is>
          <t>📝</t>
        </is>
      </c>
      <c r="G8" s="15" t="inlineStr">
        <is>
          <t>📝</t>
        </is>
      </c>
      <c r="H8" s="16" t="inlineStr">
        <is>
          <t>2025年6月</t>
        </is>
      </c>
    </row>
    <row r="9" ht="20" customHeight="1" s="45">
      <c r="A9" s="16" t="n">
        <v>7</v>
      </c>
      <c r="B9" s="17" t="inlineStr">
        <is>
          <t>転失気</t>
        </is>
      </c>
      <c r="C9" s="15" t="inlineStr">
        <is>
          <t>📝</t>
        </is>
      </c>
      <c r="D9" s="15" t="inlineStr">
        <is>
          <t>📝</t>
        </is>
      </c>
      <c r="E9" s="15" t="inlineStr">
        <is>
          <t>📝</t>
        </is>
      </c>
      <c r="F9" s="15" t="inlineStr">
        <is>
          <t>📝</t>
        </is>
      </c>
      <c r="G9" s="15" t="inlineStr">
        <is>
          <t>📝</t>
        </is>
      </c>
      <c r="H9" s="16" t="inlineStr">
        <is>
          <t>2025年7月</t>
        </is>
      </c>
    </row>
    <row r="10" ht="20" customHeight="1" s="45">
      <c r="A10" s="16" t="n">
        <v>8</v>
      </c>
      <c r="B10" s="17" t="inlineStr">
        <is>
          <t>平林</t>
        </is>
      </c>
      <c r="C10" s="15" t="inlineStr">
        <is>
          <t>📝</t>
        </is>
      </c>
      <c r="D10" s="15" t="inlineStr">
        <is>
          <t>📝</t>
        </is>
      </c>
      <c r="E10" s="15" t="inlineStr">
        <is>
          <t>📝</t>
        </is>
      </c>
      <c r="F10" s="15" t="inlineStr">
        <is>
          <t>📝</t>
        </is>
      </c>
      <c r="G10" s="15" t="inlineStr">
        <is>
          <t>📝</t>
        </is>
      </c>
      <c r="H10" s="16" t="inlineStr">
        <is>
          <t>2025年8月</t>
        </is>
      </c>
    </row>
    <row r="11" ht="20" customHeight="1" s="45">
      <c r="A11" s="16" t="n">
        <v>9</v>
      </c>
      <c r="B11" s="17" t="inlineStr">
        <is>
          <t>牛ほめ</t>
        </is>
      </c>
      <c r="C11" s="15" t="inlineStr">
        <is>
          <t>📝</t>
        </is>
      </c>
      <c r="D11" s="15" t="inlineStr">
        <is>
          <t>📝</t>
        </is>
      </c>
      <c r="E11" s="15" t="inlineStr">
        <is>
          <t>📝</t>
        </is>
      </c>
      <c r="F11" s="15" t="inlineStr">
        <is>
          <t>📝</t>
        </is>
      </c>
      <c r="G11" s="15" t="inlineStr">
        <is>
          <t>📝</t>
        </is>
      </c>
      <c r="H11" s="16" t="inlineStr">
        <is>
          <t>2025年9月</t>
        </is>
      </c>
    </row>
    <row r="12" ht="20" customHeight="1" s="45">
      <c r="A12" s="16" t="n">
        <v>10</v>
      </c>
      <c r="B12" s="17" t="inlineStr">
        <is>
          <t>強情灸</t>
        </is>
      </c>
      <c r="C12" s="15" t="inlineStr">
        <is>
          <t>📝</t>
        </is>
      </c>
      <c r="D12" s="15" t="inlineStr">
        <is>
          <t>📝</t>
        </is>
      </c>
      <c r="E12" s="15" t="inlineStr">
        <is>
          <t>📝</t>
        </is>
      </c>
      <c r="F12" s="15" t="inlineStr">
        <is>
          <t>📝</t>
        </is>
      </c>
      <c r="G12" s="15" t="inlineStr">
        <is>
          <t>📝</t>
        </is>
      </c>
      <c r="H12" s="16" t="inlineStr">
        <is>
          <t>2025年10月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2026-07-03T00:36:43Z</dcterms:created>
  <dcterms:modified xmlns:dcterms="http://purl.org/dc/terms/" xmlns:xsi="http://www.w3.org/2001/XMLSchema-instance" xsi:type="dcterms:W3CDTF">2026-07-17T14:27:15Z</dcterms:modified>
  <cp:lastModifiedBy>suil han</cp:lastModifiedBy>
</cp:coreProperties>
</file>